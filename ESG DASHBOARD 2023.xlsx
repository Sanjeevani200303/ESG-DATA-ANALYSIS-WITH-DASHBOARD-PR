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DATASET" sheetId="1" r:id="rId4"/>
    <sheet state="visible" name="ESG_SCORES" sheetId="2" r:id="rId5"/>
    <sheet state="visible" name="Environmental Pillar" sheetId="3" r:id="rId6"/>
    <sheet state="visible" name="Governance_pillar" sheetId="4" r:id="rId7"/>
    <sheet state="visible" name="Social_Pillar" sheetId="5" r:id="rId8"/>
    <sheet state="visible" name="ESG DASHBOARD 2023" sheetId="6" r:id="rId9"/>
  </sheets>
  <definedNames>
    <definedName hidden="1" localSheetId="0" name="_xlnm._FilterDatabase">MAINDATASET!$A$1:$O$31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<sst xmlns="http://schemas.openxmlformats.org/spreadsheetml/2006/main" count="329" uniqueCount="80">
  <si>
    <t>Company</t>
  </si>
  <si>
    <t>Country</t>
  </si>
  <si>
    <t>Sector</t>
  </si>
  <si>
    <t>Year</t>
  </si>
  <si>
    <t>CO2_Emissions (tCO2e)</t>
  </si>
  <si>
    <t>Normalized Co2-Score_from_0_to_100</t>
  </si>
  <si>
    <t>Renewable_Energy_%</t>
  </si>
  <si>
    <t>Water_Use (m³)</t>
  </si>
  <si>
    <t>Recycled_Waste_%</t>
  </si>
  <si>
    <t>Women_Workforce_%</t>
  </si>
  <si>
    <t>CSR_Spending_%Revenue</t>
  </si>
  <si>
    <t>Employee_Turnover_%</t>
  </si>
  <si>
    <t>CEO_Pay_Ratio</t>
  </si>
  <si>
    <t>Independent_Board_%</t>
  </si>
  <si>
    <t>ESG Score</t>
  </si>
  <si>
    <t>Siemens</t>
  </si>
  <si>
    <t>Germany</t>
  </si>
  <si>
    <t>Engineering</t>
  </si>
  <si>
    <t>Apple</t>
  </si>
  <si>
    <t>USA</t>
  </si>
  <si>
    <t>Technology</t>
  </si>
  <si>
    <t>Axis Bank</t>
  </si>
  <si>
    <t>India</t>
  </si>
  <si>
    <t>Banking</t>
  </si>
  <si>
    <t>Google (Alphabet)</t>
  </si>
  <si>
    <t>Wipro</t>
  </si>
  <si>
    <t>IT</t>
  </si>
  <si>
    <t>Larsen &amp; Toubro</t>
  </si>
  <si>
    <t>Microsoft</t>
  </si>
  <si>
    <t>Tesla</t>
  </si>
  <si>
    <t>Automobile</t>
  </si>
  <si>
    <t>Amazon</t>
  </si>
  <si>
    <t>E-commerce</t>
  </si>
  <si>
    <t>Nestlé</t>
  </si>
  <si>
    <t>Switzerland</t>
  </si>
  <si>
    <t>FMCG</t>
  </si>
  <si>
    <t>Mahindra &amp; Mahindra</t>
  </si>
  <si>
    <t>Tata Steel</t>
  </si>
  <si>
    <t>Metals</t>
  </si>
  <si>
    <t>Maruti Suzuki</t>
  </si>
  <si>
    <t>Coca-Cola</t>
  </si>
  <si>
    <t>Beverages</t>
  </si>
  <si>
    <t>Bharti Airtel</t>
  </si>
  <si>
    <t>Telecom</t>
  </si>
  <si>
    <t>HDFC Bank</t>
  </si>
  <si>
    <t>Meta</t>
  </si>
  <si>
    <t>BP</t>
  </si>
  <si>
    <t>UK</t>
  </si>
  <si>
    <t>Energy</t>
  </si>
  <si>
    <t>NTPC Ltd</t>
  </si>
  <si>
    <t>Samsung</t>
  </si>
  <si>
    <t>South Korea</t>
  </si>
  <si>
    <t>Electronics</t>
  </si>
  <si>
    <t>ITC Ltd</t>
  </si>
  <si>
    <t>Shell</t>
  </si>
  <si>
    <t>Infosys</t>
  </si>
  <si>
    <t>Hindustan Unilever</t>
  </si>
  <si>
    <t>Indian Oil Corp</t>
  </si>
  <si>
    <t>Adani Green Energy</t>
  </si>
  <si>
    <t>BMW</t>
  </si>
  <si>
    <t>Unilever</t>
  </si>
  <si>
    <t>UK/Netherlands</t>
  </si>
  <si>
    <t>Toyota</t>
  </si>
  <si>
    <t>Japan</t>
  </si>
  <si>
    <t>Reliance Industries</t>
  </si>
  <si>
    <t>SUM of Normalized Co2-Score_from_0_to_100</t>
  </si>
  <si>
    <t>SUM of Renewable_Energy_%</t>
  </si>
  <si>
    <t>SUM of Recycled_Waste_%</t>
  </si>
  <si>
    <t>Grand Total</t>
  </si>
  <si>
    <t>SUM of CEO_Pay_Ratio</t>
  </si>
  <si>
    <t>SUM of Independent_Board_%</t>
  </si>
  <si>
    <t>SUM of Women_Workforce_%</t>
  </si>
  <si>
    <t>SUM of CSR_Spending_%Revenue</t>
  </si>
  <si>
    <t>SUM of Employee_Turnover_%</t>
  </si>
  <si>
    <t>ESG DASHBOARD FOR TOP 30 COMPANIES FOR AY-2023</t>
  </si>
  <si>
    <t>Environemental Pillar</t>
  </si>
  <si>
    <t>Social Pillar</t>
  </si>
  <si>
    <t>Governance Pillar</t>
  </si>
  <si>
    <t>OVERALL ESG COMPLIANCE COMPARISON FOR EVERY COUNTRY</t>
  </si>
  <si>
    <t>SUM of ESG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</si>
</sst>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26.0"/>
      <color theme="1"/>
      <name val="Calibri"/>
      <scheme val="minor"/>
    </font>
    <font>
      <b/>
      <sz val="31.0"/>
      <color theme="1"/>
      <name val="Calibri"/>
      <scheme val="minor"/>
    </font>
    <font>
      <b/>
      <sz val="18.0"/>
      <color theme="1"/>
      <name val="Calibri"/>
      <scheme val="minor"/>
    </font>
    <font>
      <b/>
      <sz val="20.0"/>
      <color theme="1"/>
      <name val="Calibri"/>
      <scheme val="minor"/>
    </font>
    <font>
      <b/>
      <sz val="2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0" fillId="2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2" numFmtId="0" xfId="0" applyFont="1"/>
    <xf borderId="0" fillId="5" fontId="3" numFmtId="0" xfId="0" applyAlignment="1" applyFill="1" applyFont="1">
      <alignment readingOrder="0"/>
    </xf>
    <xf borderId="0" fillId="5" fontId="2" numFmtId="0" xfId="0" applyFont="1"/>
    <xf borderId="0" fillId="5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ESG Score Comparison for Every Country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'ESG DASHBOARD 2023'!$B$149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'ESG DASHBOARD 2023'!$A$150:$A$157</c:f>
            </c:strRef>
          </c:cat>
          <c:val>
            <c:numRef>
              <c:f>'ESG DASHBOARD 2023'!$B$150:$B$157</c:f>
              <c:numCache/>
            </c:numRef>
          </c:val>
        </c:ser>
        <c:overlap val="100"/>
        <c:axId val="1267069039"/>
        <c:axId val="221027294"/>
      </c:barChart>
      <c:catAx>
        <c:axId val="1267069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027294"/>
      </c:catAx>
      <c:valAx>
        <c:axId val="221027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ESG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069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Compare environmental KPIs by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'Environmental Pillar'!$B$1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'Environmental Pillar'!$A$2:$A$31</c:f>
            </c:strRef>
          </c:cat>
          <c:val>
            <c:numRef>
              <c:f>'Environmental Pillar'!$B$2:$B$31</c:f>
              <c:numCache/>
            </c:numRef>
          </c:val>
        </c:ser>
        <c:ser>
          <c:idx val="1"/>
          <c:order val="1"/>
          <c:tx>
            <c:strRef>
              <c:f>'Environmental Pillar'!$C$1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'Environmental Pillar'!$A$2:$A$31</c:f>
            </c:strRef>
          </c:cat>
          <c:val>
            <c:numRef>
              <c:f>'Environmental Pillar'!$C$2:$C$31</c:f>
              <c:numCache/>
            </c:numRef>
          </c:val>
        </c:ser>
        <c:ser>
          <c:idx val="2"/>
          <c:order val="2"/>
          <c:tx>
            <c:strRef>
              <c:f>'Environmental Pillar'!$D$1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'Environmental Pillar'!$A$2:$A$31</c:f>
            </c:strRef>
          </c:cat>
          <c:val>
            <c:numRef>
              <c:f>'Environmental Pillar'!$D$2:$D$31</c:f>
              <c:numCache/>
            </c:numRef>
          </c:val>
        </c:ser>
        <c:axId val="177138966"/>
        <c:axId val="205786525"/>
      </c:barChart>
      <c:catAx>
        <c:axId val="177138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86525"/>
      </c:catAx>
      <c:valAx>
        <c:axId val="205786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38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Company Environmental Profile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'Environmental Pillar'!$B$1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'Environmental Pillar'!$A$2:$A$31</c:f>
            </c:strRef>
          </c:cat>
          <c:val>
            <c:numRef>
              <c:f>'Environmental Pillar'!$B$2:$B$31</c:f>
              <c:numCache/>
            </c:numRef>
          </c:val>
          <c:smooth val="1"/>
        </c:ser>
        <c:ser>
          <c:idx val="1"/>
          <c:order val="1"/>
          <c:tx>
            <c:strRef>
              <c:f>'Environmental Pillar'!$C$1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'Environmental Pillar'!$A$2:$A$31</c:f>
            </c:strRef>
          </c:cat>
          <c:val>
            <c:numRef>
              <c:f>'Environmental Pillar'!$C$2:$C$31</c:f>
              <c:numCache/>
            </c:numRef>
          </c:val>
          <c:smooth val="1"/>
        </c:ser>
        <c:ser>
          <c:idx val="2"/>
          <c:order val="2"/>
          <c:tx>
            <c:strRef>
              <c:f>'Environmental Pillar'!$D$1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'Environmental Pillar'!$A$2:$A$31</c:f>
            </c:strRef>
          </c:cat>
          <c:val>
            <c:numRef>
              <c:f>'Environmental Pillar'!$D$2:$D$31</c:f>
              <c:numCache/>
            </c:numRef>
          </c:val>
          <c:smooth val="1"/>
        </c:ser>
        <c:axId val="1403261056"/>
        <c:axId val="447818756"/>
      </c:radarChart>
      <c:catAx>
        <c:axId val="140326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818756"/>
      </c:catAx>
      <c:valAx>
        <c:axId val="447818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261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Comparison between Governance Bodies Turnovers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Governance_pillar!$B$1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Governance_pillar!$A$2:$A$31</c:f>
            </c:strRef>
          </c:cat>
          <c:val>
            <c:numRef>
              <c:f>Governance_pillar!$B$2:$B$31</c:f>
              <c:numCache/>
            </c:numRef>
          </c:val>
          <c:smooth val="0"/>
        </c:ser>
        <c:ser>
          <c:idx val="1"/>
          <c:order val="1"/>
          <c:tx>
            <c:strRef>
              <c:f>Governance_pillar!$C$1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Governance_pillar!$A$2:$A$31</c:f>
            </c:strRef>
          </c:cat>
          <c:val>
            <c:numRef>
              <c:f>Governance_pillar!$C$2:$C$31</c:f>
              <c:numCache/>
            </c:numRef>
          </c:val>
          <c:smooth val="0"/>
        </c:ser>
        <c:axId val="1582045072"/>
        <c:axId val="616444126"/>
      </c:lineChart>
      <c:catAx>
        <c:axId val="158204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444126"/>
      </c:catAx>
      <c:valAx>
        <c:axId val="616444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045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Goal	Best Chart	Why
Compare governance quality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Governance_pillar!$B$1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Governance_pillar!$A$2:$A$31</c:f>
            </c:strRef>
          </c:cat>
          <c:val>
            <c:numRef>
              <c:f>Governance_pillar!$B$2:$B$31</c:f>
              <c:numCache/>
            </c:numRef>
          </c:val>
        </c:ser>
        <c:ser>
          <c:idx val="1"/>
          <c:order val="1"/>
          <c:tx>
            <c:strRef>
              <c:f>Governance_pillar!$C$1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Governance_pillar!$A$2:$A$31</c:f>
            </c:strRef>
          </c:cat>
          <c:val>
            <c:numRef>
              <c:f>Governance_pillar!$C$2:$C$31</c:f>
              <c:numCache/>
            </c:numRef>
          </c:val>
        </c:ser>
        <c:axId val="832087644"/>
        <c:axId val="639276630"/>
      </c:bar3DChart>
      <c:catAx>
        <c:axId val="832087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276630"/>
      </c:catAx>
      <c:valAx>
        <c:axId val="639276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0876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inverse relation between pay ratio &amp; board independence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Governance_pillar!$B$1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Governance_pillar!$A$2:$A$31</c:f>
            </c:strRef>
          </c:cat>
          <c:val>
            <c:numRef>
              <c:f>Governance_pillar!$B$2:$B$31</c:f>
              <c:numCache/>
            </c:numRef>
          </c:val>
        </c:ser>
        <c:axId val="1906809891"/>
        <c:axId val="1015699000"/>
      </c:barChart>
      <c:lineChart>
        <c:varyColors val="0"/>
        <c:ser>
          <c:idx val="1"/>
          <c:order val="1"/>
          <c:tx>
            <c:strRef>
              <c:f>Governance_pillar!$C$1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Governance_pillar!$A$2:$A$31</c:f>
            </c:strRef>
          </c:cat>
          <c:val>
            <c:numRef>
              <c:f>Governance_pillar!$C$2:$C$31</c:f>
              <c:numCache/>
            </c:numRef>
          </c:val>
          <c:smooth val="0"/>
        </c:ser>
        <c:axId val="1906809891"/>
        <c:axId val="1015699000"/>
      </c:lineChart>
      <c:catAx>
        <c:axId val="1906809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699000"/>
      </c:catAx>
      <c:valAx>
        <c:axId val="1015699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809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Diversity vs. Correlation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Social_Pillar!$B$1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Social_Pillar!$A$2:$A$31</c:f>
            </c:numRef>
          </c:xVal>
          <c:yVal>
            <c:numRef>
              <c:f>Social_Pillar!$B$2:$B$31</c:f>
              <c:numCache/>
            </c:numRef>
          </c:yVal>
        </c:ser>
        <c:ser>
          <c:idx val="1"/>
          <c:order val="1"/>
          <c:tx>
            <c:strRef>
              <c:f>Social_Pillar!$C$1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Social_Pillar!$A$2:$A$31</c:f>
            </c:numRef>
          </c:xVal>
          <c:yVal>
            <c:numRef>
              <c:f>Social_Pillar!$C$2:$C$31</c:f>
              <c:numCache/>
            </c:numRef>
          </c:yVal>
        </c:ser>
        <c:ser>
          <c:idx val="2"/>
          <c:order val="2"/>
          <c:tx>
            <c:strRef>
              <c:f>Social_Pillar!$D$1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Social_Pillar!$A$2:$A$31</c:f>
            </c:numRef>
          </c:xVal>
          <c:yVal>
            <c:numRef>
              <c:f>Social_Pillar!$D$2:$D$31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15037"/>
        <c:axId val="473953146"/>
      </c:scatterChart>
      <c:valAx>
        <c:axId val="555415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953146"/>
      </c:valAx>
      <c:valAx>
        <c:axId val="473953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415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Comparing Companies Social Scores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Social_Pillar!$B$1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Social_Pillar!$B$2:$B$31</c:f>
              <c:numCache/>
            </c:numRef>
          </c:val>
        </c:ser>
        <c:ser>
          <c:idx val="1"/>
          <c:order val="1"/>
          <c:tx>
            <c:strRef>
              <c:f>Social_Pillar!$C$1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Social_Pillar!$C$2:$C$31</c:f>
              <c:numCache/>
            </c:numRef>
          </c:val>
        </c:ser>
        <c:ser>
          <c:idx val="2"/>
          <c:order val="2"/>
          <c:tx>
            <c:strRef>
              <c:f>Social_Pillar!$D$1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Social_Pillar!$D$2:$D$31</c:f>
              <c:numCache/>
            </c:numRef>
          </c:val>
        </c:ser>
        <c:axId val="1709090289"/>
        <c:axId val="130108621"/>
      </c:barChart>
      <c:catAx>
        <c:axId val="17090902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08621"/>
      </c:catAx>
      <c:valAx>
        <c:axId val="1301086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0902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Showing share of each social KPI contribution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Social_Pillar!$B$1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Social_Pillar!$B$2:$B$31</c:f>
              <c:numCache/>
            </c:numRef>
          </c:val>
        </c:ser>
        <c:ser>
          <c:idx val="1"/>
          <c:order val="1"/>
          <c:tx>
            <c:strRef>
              <c:f>Social_Pillar!$C$1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Social_Pillar!$C$2:$C$31</c:f>
              <c:numCache/>
            </c:numRef>
          </c:val>
        </c:ser>
        <c:ser>
          <c:idx val="2"/>
          <c:order val="2"/>
          <c:tx>
            <c:strRef>
              <c:f>Social_Pillar!$D$1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Social_Pillar!$D$2:$D$31</c:f>
              <c:numCache/>
            </c:numRef>
          </c:val>
        </c:ser>
        <c:overlap val="100"/>
        <c:axId val="249376676"/>
        <c:axId val="511488652"/>
      </c:barChart>
      <c:catAx>
        <c:axId val="249376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488652"/>
      </c:catAx>
      <c:valAx>
        <c:axId val="511488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376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Woman Engagement Per Cent Comapny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Social_Pillar!$B$1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F5F8EE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FEF5ED"/>
              </a:solidFill>
            </c:spPr>
          </c:dPt>
          <c:dPt>
            <c:idx val="24"/>
            <c:spPr>
              <a:solidFill>
                <a:srgbClr val="22180C"/>
              </a:solidFill>
            </c:spPr>
          </c:dPt>
          <c:dPt>
            <c:idx val="25"/>
            <c:spPr>
              <a:solidFill>
                <a:srgbClr val="0C2223"/>
              </a:solidFill>
            </c:spPr>
          </c:dPt>
          <c:dPt>
            <c:idx val="26"/>
            <c:spPr>
              <a:solidFill>
                <a:srgbClr val="130D20"/>
              </a:solidFill>
            </c:spPr>
          </c:dPt>
          <c:dPt>
            <c:idx val="27"/>
            <c:spPr>
              <a:solidFill>
                <a:srgbClr val="181E12"/>
              </a:solidFill>
            </c:spPr>
          </c:dPt>
          <c:dPt>
            <c:idx val="28"/>
            <c:spPr>
              <a:solidFill>
                <a:srgbClr val="23100A"/>
              </a:solidFill>
            </c:spPr>
          </c:dPt>
          <c:dPt>
            <c:idx val="29"/>
            <c:spPr>
              <a:solidFill>
                <a:srgbClr val="0114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Social_Pillar!$A$2:$A$31</c:f>
            </c:strRef>
          </c:cat>
          <c:val>
            <c:numRef>
              <c:f>Social_Pillar!$B$2:$B$31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Compare environmental KPIs by company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'Environmental Pillar'!$B$1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'Environmental Pillar'!$A$2:$A$31</c:f>
            </c:strRef>
          </c:cat>
          <c:val>
            <c:numRef>
              <c:f>'Environmental Pillar'!$B$2:$B$31</c:f>
              <c:numCache/>
            </c:numRef>
          </c:val>
        </c:ser>
        <c:ser>
          <c:idx val="1"/>
          <c:order val="1"/>
          <c:tx>
            <c:strRef>
              <c:f>'Environmental Pillar'!$C$1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'Environmental Pillar'!$A$2:$A$31</c:f>
            </c:strRef>
          </c:cat>
          <c:val>
            <c:numRef>
              <c:f>'Environmental Pillar'!$C$2:$C$31</c:f>
              <c:numCache/>
            </c:numRef>
          </c:val>
        </c:ser>
        <c:ser>
          <c:idx val="2"/>
          <c:order val="2"/>
          <c:tx>
            <c:strRef>
              <c:f>'Environmental Pillar'!$D$1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'Environmental Pillar'!$A$2:$A$31</c:f>
            </c:strRef>
          </c:cat>
          <c:val>
            <c:numRef>
              <c:f>'Environmental Pillar'!$D$2:$D$31</c:f>
              <c:numCache/>
            </c:numRef>
          </c:val>
        </c:ser>
        <c:overlap val="100"/>
        <c:axId val="795464617"/>
        <c:axId val="1146737626"/>
      </c:barChart>
      <c:catAx>
        <c:axId val="795464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737626"/>
      </c:catAx>
      <c:valAx>
        <c:axId val="1146737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464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Company Environmental Profile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'Environmental Pillar'!$B$1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'Environmental Pillar'!$A$2:$A$31</c:f>
            </c:strRef>
          </c:cat>
          <c:val>
            <c:numRef>
              <c:f>'Environmental Pillar'!$B$2:$B$31</c:f>
              <c:numCache/>
            </c:numRef>
          </c:val>
          <c:smooth val="1"/>
        </c:ser>
        <c:ser>
          <c:idx val="1"/>
          <c:order val="1"/>
          <c:tx>
            <c:strRef>
              <c:f>'Environmental Pillar'!$C$1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'Environmental Pillar'!$A$2:$A$31</c:f>
            </c:strRef>
          </c:cat>
          <c:val>
            <c:numRef>
              <c:f>'Environmental Pillar'!$C$2:$C$31</c:f>
              <c:numCache/>
            </c:numRef>
          </c:val>
          <c:smooth val="1"/>
        </c:ser>
        <c:ser>
          <c:idx val="2"/>
          <c:order val="2"/>
          <c:tx>
            <c:strRef>
              <c:f>'Environmental Pillar'!$D$1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'Environmental Pillar'!$A$2:$A$31</c:f>
            </c:strRef>
          </c:cat>
          <c:val>
            <c:numRef>
              <c:f>'Environmental Pillar'!$D$2:$D$31</c:f>
              <c:numCache/>
            </c:numRef>
          </c:val>
          <c:smooth val="1"/>
        </c:ser>
        <c:axId val="1017697334"/>
        <c:axId val="744320113"/>
      </c:radarChart>
      <c:catAx>
        <c:axId val="1017697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320113"/>
      </c:catAx>
      <c:valAx>
        <c:axId val="744320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697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Comparing Companies Social Scores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Social_Pillar!$B$1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Social_Pillar!$B$2:$B$31</c:f>
              <c:numCache/>
            </c:numRef>
          </c:val>
        </c:ser>
        <c:ser>
          <c:idx val="1"/>
          <c:order val="1"/>
          <c:tx>
            <c:strRef>
              <c:f>Social_Pillar!$C$1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Social_Pillar!$C$2:$C$31</c:f>
              <c:numCache/>
            </c:numRef>
          </c:val>
        </c:ser>
        <c:ser>
          <c:idx val="2"/>
          <c:order val="2"/>
          <c:tx>
            <c:strRef>
              <c:f>Social_Pillar!$D$1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Social_Pillar!$D$2:$D$31</c:f>
              <c:numCache/>
            </c:numRef>
          </c:val>
        </c:ser>
        <c:overlap val="100"/>
        <c:axId val="759055273"/>
        <c:axId val="1814081212"/>
      </c:barChart>
      <c:catAx>
        <c:axId val="7590552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081212"/>
      </c:catAx>
      <c:valAx>
        <c:axId val="18140812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0552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Woman Engagement Per Cent Comapny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Social_Pillar!$B$1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F5F8EE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FEF5ED"/>
              </a:solidFill>
            </c:spPr>
          </c:dPt>
          <c:dPt>
            <c:idx val="24"/>
            <c:spPr>
              <a:solidFill>
                <a:srgbClr val="22180C"/>
              </a:solidFill>
            </c:spPr>
          </c:dPt>
          <c:dPt>
            <c:idx val="25"/>
            <c:spPr>
              <a:solidFill>
                <a:srgbClr val="0C2223"/>
              </a:solidFill>
            </c:spPr>
          </c:dPt>
          <c:dPt>
            <c:idx val="26"/>
            <c:spPr>
              <a:solidFill>
                <a:srgbClr val="130D20"/>
              </a:solidFill>
            </c:spPr>
          </c:dPt>
          <c:dPt>
            <c:idx val="27"/>
            <c:spPr>
              <a:solidFill>
                <a:srgbClr val="181E12"/>
              </a:solidFill>
            </c:spPr>
          </c:dPt>
          <c:dPt>
            <c:idx val="28"/>
            <c:spPr>
              <a:solidFill>
                <a:srgbClr val="23100A"/>
              </a:solidFill>
            </c:spPr>
          </c:dPt>
          <c:dPt>
            <c:idx val="29"/>
            <c:spPr>
              <a:solidFill>
                <a:srgbClr val="0114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Social_Pillar!$A$2:$A$31</c:f>
            </c:strRef>
          </c:cat>
          <c:val>
            <c:numRef>
              <c:f>Social_Pillar!$B$2:$B$31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Diversity vs. Correlation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Social_Pillar!$B$1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Social_Pillar!$A$2:$A$31</c:f>
            </c:numRef>
          </c:xVal>
          <c:yVal>
            <c:numRef>
              <c:f>Social_Pillar!$B$2:$B$31</c:f>
              <c:numCache/>
            </c:numRef>
          </c:yVal>
        </c:ser>
        <c:ser>
          <c:idx val="1"/>
          <c:order val="1"/>
          <c:tx>
            <c:strRef>
              <c:f>Social_Pillar!$C$1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Social_Pillar!$A$2:$A$31</c:f>
            </c:numRef>
          </c:xVal>
          <c:yVal>
            <c:numRef>
              <c:f>Social_Pillar!$C$2:$C$31</c:f>
              <c:numCache/>
            </c:numRef>
          </c:yVal>
        </c:ser>
        <c:ser>
          <c:idx val="2"/>
          <c:order val="2"/>
          <c:tx>
            <c:strRef>
              <c:f>Social_Pillar!$D$1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Social_Pillar!$A$2:$A$31</c:f>
            </c:numRef>
          </c:xVal>
          <c:yVal>
            <c:numRef>
              <c:f>Social_Pillar!$D$2:$D$31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597642"/>
        <c:axId val="225459452"/>
      </c:scatterChart>
      <c:valAx>
        <c:axId val="17805976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459452"/>
      </c:valAx>
      <c:valAx>
        <c:axId val="225459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597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Showing share of each social KPI contribution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Social_Pillar!$B$1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Social_Pillar!$B$2:$B$31</c:f>
              <c:numCache/>
            </c:numRef>
          </c:val>
        </c:ser>
        <c:ser>
          <c:idx val="1"/>
          <c:order val="1"/>
          <c:tx>
            <c:strRef>
              <c:f>Social_Pillar!$C$1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Social_Pillar!$C$2:$C$31</c:f>
              <c:numCache/>
            </c:numRef>
          </c:val>
        </c:ser>
        <c:ser>
          <c:idx val="2"/>
          <c:order val="2"/>
          <c:tx>
            <c:strRef>
              <c:f>Social_Pillar!$D$1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Social_Pillar!$A$2:$A$31</c:f>
            </c:strRef>
          </c:cat>
          <c:val>
            <c:numRef>
              <c:f>Social_Pillar!$D$2:$D$31</c:f>
              <c:numCache/>
            </c:numRef>
          </c:val>
        </c:ser>
        <c:overlap val="100"/>
        <c:axId val="1822198203"/>
        <c:axId val="638207745"/>
      </c:barChart>
      <c:catAx>
        <c:axId val="1822198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207745"/>
      </c:catAx>
      <c:valAx>
        <c:axId val="638207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198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Goal	Best Chart	Why
Compare governance quality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Governance_pillar!$B$1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Governance_pillar!$A$2:$A$31</c:f>
            </c:strRef>
          </c:cat>
          <c:val>
            <c:numRef>
              <c:f>Governance_pillar!$B$2:$B$31</c:f>
              <c:numCache/>
            </c:numRef>
          </c:val>
        </c:ser>
        <c:ser>
          <c:idx val="1"/>
          <c:order val="1"/>
          <c:tx>
            <c:strRef>
              <c:f>Governance_pillar!$C$1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Governance_pillar!$A$2:$A$31</c:f>
            </c:strRef>
          </c:cat>
          <c:val>
            <c:numRef>
              <c:f>Governance_pillar!$C$2:$C$31</c:f>
              <c:numCache/>
            </c:numRef>
          </c:val>
        </c:ser>
        <c:axId val="744868577"/>
        <c:axId val="1366932736"/>
      </c:bar3DChart>
      <c:catAx>
        <c:axId val="7448685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932736"/>
      </c:catAx>
      <c:valAx>
        <c:axId val="13669327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8685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Comparison between Governance Bodies Turnovers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Governance_pillar!$B$1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Governance_pillar!$A$2:$A$31</c:f>
            </c:strRef>
          </c:cat>
          <c:val>
            <c:numRef>
              <c:f>Governance_pillar!$B$2:$B$31</c:f>
              <c:numCache/>
            </c:numRef>
          </c:val>
          <c:smooth val="0"/>
        </c:ser>
        <c:ser>
          <c:idx val="1"/>
          <c:order val="1"/>
          <c:tx>
            <c:strRef>
              <c:f>Governance_pillar!$C$1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Governance_pillar!$A$2:$A$31</c:f>
            </c:strRef>
          </c:cat>
          <c:val>
            <c:numRef>
              <c:f>Governance_pillar!$C$2:$C$31</c:f>
              <c:numCache/>
            </c:numRef>
          </c:val>
          <c:smooth val="0"/>
        </c:ser>
        <c:axId val="1412109638"/>
        <c:axId val="1201426088"/>
      </c:lineChart>
      <c:catAx>
        <c:axId val="1412109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426088"/>
      </c:catAx>
      <c:valAx>
        <c:axId val="1201426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109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Show inverse relation between pay ratio &amp; board independence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Governance_pillar!$B$1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Governance_pillar!$A$2:$A$31</c:f>
            </c:strRef>
          </c:cat>
          <c:val>
            <c:numRef>
              <c:f>Governance_pillar!$B$2:$B$31</c:f>
              <c:numCache/>
            </c:numRef>
          </c:val>
        </c:ser>
        <c:axId val="1038341850"/>
        <c:axId val="538615514"/>
      </c:barChart>
      <c:lineChart>
        <c:varyColors val="0"/>
        <c:ser>
          <c:idx val="1"/>
          <c:order val="1"/>
          <c:tx>
            <c:strRef>
              <c:f>Governance_pillar!$C$1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Governance_pillar!$A$2:$A$31</c:f>
            </c:strRef>
          </c:cat>
          <c:val>
            <c:numRef>
              <c:f>Governance_pillar!$C$2:$C$31</c:f>
              <c:numCache/>
            </c:numRef>
          </c:val>
          <c:smooth val="0"/>
        </c:ser>
        <c:axId val="1038341850"/>
        <c:axId val="538615514"/>
      </c:lineChart>
      <c:catAx>
        <c:axId val="1038341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615514"/>
      </c:catAx>
      <c:valAx>
        <c:axId val="538615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341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ESG Score Comparison for Every Country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'ESG DASHBOARD 2023'!$B$149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'ESG DASHBOARD 2023'!$A$150:$A$157</c:f>
            </c:strRef>
          </c:cat>
          <c:val>
            <c:numRef>
              <c:f>'ESG DASHBOARD 2023'!$B$150:$B$157</c:f>
              <c:numCache/>
            </c:numRef>
          </c:val>
        </c:ser>
        <c:overlap val="100"/>
        <c:axId val="1346133375"/>
        <c:axId val="1272923624"/>
      </c:barChart>
      <c:catAx>
        <c:axId val="1346133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923624"/>
      </c:catAx>
      <c:valAx>
        <c:axId val="1272923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ESG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133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10" Type="http://schemas.openxmlformats.org/officeDocument/2006/relationships/chart" Target="../charts/chart20.xml"/><Relationship Id="rId9" Type="http://schemas.openxmlformats.org/officeDocument/2006/relationships/chart" Target="../charts/chart19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0</xdr:row>
      <xdr:rowOff>0</xdr:rowOff>
    </xdr:from>
    <xdr:ext cx="10115550" cy="6257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0</xdr:rowOff>
    </xdr:from>
    <xdr:ext cx="9382125" cy="6143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933450</xdr:colOff>
      <xdr:row>0</xdr:row>
      <xdr:rowOff>0</xdr:rowOff>
    </xdr:from>
    <xdr:ext cx="6191250" cy="6143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0</xdr:row>
      <xdr:rowOff>0</xdr:rowOff>
    </xdr:from>
    <xdr:ext cx="6086475" cy="4267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876300</xdr:colOff>
      <xdr:row>0</xdr:row>
      <xdr:rowOff>0</xdr:rowOff>
    </xdr:from>
    <xdr:ext cx="8077200" cy="7629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581025</xdr:colOff>
      <xdr:row>22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31</xdr:row>
      <xdr:rowOff>133350</xdr:rowOff>
    </xdr:from>
    <xdr:ext cx="6772275" cy="45053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0</xdr:row>
      <xdr:rowOff>19050</xdr:rowOff>
    </xdr:from>
    <xdr:ext cx="6772275" cy="60960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142875</xdr:colOff>
      <xdr:row>30</xdr:row>
      <xdr:rowOff>114300</xdr:rowOff>
    </xdr:from>
    <xdr:ext cx="8220075" cy="45053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76200</xdr:colOff>
      <xdr:row>0</xdr:row>
      <xdr:rowOff>0</xdr:rowOff>
    </xdr:from>
    <xdr:ext cx="8353425" cy="59531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4</xdr:row>
      <xdr:rowOff>0</xdr:rowOff>
    </xdr:from>
    <xdr:ext cx="9382125" cy="61436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523875</xdr:colOff>
      <xdr:row>4</xdr:row>
      <xdr:rowOff>0</xdr:rowOff>
    </xdr:from>
    <xdr:ext cx="6191250" cy="61436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952500</xdr:colOff>
      <xdr:row>41</xdr:row>
      <xdr:rowOff>152400</xdr:rowOff>
    </xdr:from>
    <xdr:ext cx="6772275" cy="62103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9525</xdr:colOff>
      <xdr:row>41</xdr:row>
      <xdr:rowOff>152400</xdr:rowOff>
    </xdr:from>
    <xdr:ext cx="8353425" cy="62103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952500</xdr:colOff>
      <xdr:row>73</xdr:row>
      <xdr:rowOff>180975</xdr:rowOff>
    </xdr:from>
    <xdr:ext cx="6772275" cy="45053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9525</xdr:colOff>
      <xdr:row>73</xdr:row>
      <xdr:rowOff>180975</xdr:rowOff>
    </xdr:from>
    <xdr:ext cx="8220075" cy="45053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19050</xdr:colOff>
      <xdr:row>102</xdr:row>
      <xdr:rowOff>180975</xdr:rowOff>
    </xdr:from>
    <xdr:ext cx="8077200" cy="61436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381000</xdr:colOff>
      <xdr:row>102</xdr:row>
      <xdr:rowOff>190500</xdr:rowOff>
    </xdr:from>
    <xdr:ext cx="7848600" cy="42672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11</xdr:col>
      <xdr:colOff>381000</xdr:colOff>
      <xdr:row>124</xdr:row>
      <xdr:rowOff>114300</xdr:rowOff>
    </xdr:from>
    <xdr:ext cx="78486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600075</xdr:colOff>
      <xdr:row>147</xdr:row>
      <xdr:rowOff>114300</xdr:rowOff>
    </xdr:from>
    <xdr:ext cx="10115550" cy="625792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31" sheet="MAINDATASET"/>
  </cacheSource>
  <cacheFields>
    <cacheField name="Company" numFmtId="0">
      <sharedItems>
        <s v="Siemens"/>
        <s v="Apple"/>
        <s v="Axis Bank"/>
        <s v="Google (Alphabet)"/>
        <s v="Wipro"/>
        <s v="Larsen &amp; Toubro"/>
        <s v="Microsoft"/>
        <s v="Tesla"/>
        <s v="Amazon"/>
        <s v="Nestlé"/>
        <s v="Mahindra &amp; Mahindra"/>
        <s v="Tata Steel"/>
        <s v="Maruti Suzuki"/>
        <s v="Coca-Cola"/>
        <s v="Bharti Airtel"/>
        <s v="HDFC Bank"/>
        <s v="Meta"/>
        <s v="BP"/>
        <s v="NTPC Ltd"/>
        <s v="Samsung"/>
        <s v="ITC Ltd"/>
        <s v="Shell"/>
        <s v="Infosys"/>
        <s v="Hindustan Unilever"/>
        <s v="Indian Oil Corp"/>
        <s v="Adani Green Energy"/>
        <s v="BMW"/>
        <s v="Unilever"/>
        <s v="Toyota"/>
        <s v="Reliance Industries"/>
      </sharedItems>
    </cacheField>
    <cacheField name="Country" numFmtId="0">
      <sharedItems>
        <s v="Germany"/>
        <s v="USA"/>
        <s v="India"/>
        <s v="Switzerland"/>
        <s v="UK"/>
        <s v="South Korea"/>
        <s v="UK/Netherlands"/>
        <s v="Japan"/>
      </sharedItems>
    </cacheField>
    <cacheField name="Sector" numFmtId="0">
      <sharedItems>
        <s v="Engineering"/>
        <s v="Technology"/>
        <s v="Banking"/>
        <s v="IT"/>
        <s v="Automobile"/>
        <s v="E-commerce"/>
        <s v="FMCG"/>
        <s v="Metals"/>
        <s v="Beverages"/>
        <s v="Telecom"/>
        <s v="Energy"/>
        <s v="Electronics"/>
      </sharedItems>
    </cacheField>
    <cacheField name="Year" numFmtId="0">
      <sharedItems containsSemiMixedTypes="0" containsString="0" containsNumber="1" containsInteger="1">
        <n v="2023.0"/>
      </sharedItems>
    </cacheField>
    <cacheField name="CO2_Emissions (tCO2e)" numFmtId="0">
      <sharedItems containsSemiMixedTypes="0" containsString="0" containsNumber="1" containsInteger="1">
        <n v="104654.0"/>
        <n v="123355.0"/>
        <n v="811743.0"/>
        <n v="937040.0"/>
        <n v="1156074.0"/>
        <n v="1259911.0"/>
        <n v="1282752.0"/>
        <n v="1327371.0"/>
        <n v="1416025.0"/>
        <n v="1520942.0"/>
        <n v="1590006.0"/>
        <n v="1712743.0"/>
        <n v="1786891.0"/>
        <n v="1974354.0"/>
        <n v="2158242.0"/>
        <n v="2254489.0"/>
        <n v="2273882.0"/>
        <n v="3295709.0"/>
        <n v="3364769.0"/>
        <n v="3550409.0"/>
        <n v="4064887.0"/>
        <n v="4280029.0"/>
        <n v="4324572.0"/>
        <n v="4492471.0"/>
        <n v="4541373.0"/>
        <n v="4543669.0"/>
        <n v="4741339.0"/>
        <n v="4862447.0"/>
        <n v="4869115.0"/>
        <n v="4946484.0"/>
      </sharedItems>
    </cacheField>
    <cacheField name="Normalized Co2-Score_from_0_to_100" numFmtId="0">
      <sharedItems containsSemiMixedTypes="0" containsString="0" containsNumber="1" containsInteger="1">
        <n v="100.0"/>
        <n v="85.0"/>
        <n v="83.0"/>
        <n v="78.0"/>
        <n v="76.0"/>
        <n v="75.0"/>
        <n v="73.0"/>
        <n v="71.0"/>
        <n v="69.0"/>
        <n v="67.0"/>
        <n v="65.0"/>
        <n v="61.0"/>
        <n v="58.0"/>
        <n v="56.0"/>
        <n v="55.0"/>
        <n v="34.0"/>
        <n v="33.0"/>
        <n v="29.0"/>
        <n v="18.0"/>
        <n v="14.0"/>
        <n v="13.0"/>
        <n v="9.0"/>
        <n v="8.0"/>
        <n v="4.0"/>
        <n v="2.0"/>
        <n v="0.0"/>
      </sharedItems>
    </cacheField>
    <cacheField name="Renewable_Energy_%" numFmtId="0">
      <sharedItems containsSemiMixedTypes="0" containsString="0" containsNumber="1" containsInteger="1">
        <n v="15.0"/>
        <n v="93.0"/>
        <n v="11.0"/>
        <n v="17.0"/>
        <n v="30.0"/>
        <n v="48.0"/>
        <n v="69.0"/>
        <n v="53.0"/>
        <n v="80.0"/>
        <n v="59.0"/>
        <n v="16.0"/>
        <n v="64.0"/>
        <n v="23.0"/>
        <n v="63.0"/>
        <n v="13.0"/>
        <n v="60.0"/>
        <n v="56.0"/>
        <n v="62.0"/>
        <n v="44.0"/>
        <n v="82.0"/>
        <n v="73.0"/>
        <n v="27.0"/>
        <n v="18.0"/>
        <n v="90.0"/>
        <n v="45.0"/>
        <n v="87.0"/>
        <n v="12.0"/>
      </sharedItems>
    </cacheField>
    <cacheField name="Water_Use (m³)" numFmtId="0">
      <sharedItems containsSemiMixedTypes="0" containsString="0" containsNumber="1" containsInteger="1">
        <n v="2280919.0"/>
        <n v="1122876.0"/>
        <n v="73247.0"/>
        <n v="1660908.0"/>
        <n v="246769.0"/>
        <n v="1096797.0"/>
        <n v="1372905.0"/>
        <n v="1335160.0"/>
        <n v="1817640.0"/>
        <n v="2411864.0"/>
        <n v="2349435.0"/>
        <n v="1413715.0"/>
        <n v="1361736.0"/>
        <n v="1802126.0"/>
        <n v="614685.0"/>
        <n v="2145505.0"/>
        <n v="1936222.0"/>
        <n v="2083643.0"/>
        <n v="629879.0"/>
        <n v="1028732.0"/>
        <n v="1321741.0"/>
        <n v="1554384.0"/>
        <n v="1270405.0"/>
        <n v="1634398.0"/>
        <n v="1057293.0"/>
        <n v="1452107.0"/>
        <n v="98984.0"/>
        <n v="2450070.0"/>
        <n v="1475472.0"/>
        <n v="321836.0"/>
      </sharedItems>
    </cacheField>
    <cacheField name="Recycled_Waste_%" numFmtId="0">
      <sharedItems containsSemiMixedTypes="0" containsString="0" containsNumber="1" containsInteger="1">
        <n v="34.0"/>
        <n v="42.0"/>
        <n v="67.0"/>
        <n v="54.0"/>
        <n v="24.0"/>
        <n v="47.0"/>
        <n v="81.0"/>
        <n v="63.0"/>
        <n v="56.0"/>
        <n v="33.0"/>
        <n v="52.0"/>
        <n v="30.0"/>
        <n v="31.0"/>
        <n v="61.0"/>
        <n v="92.0"/>
        <n v="84.0"/>
        <n v="28.0"/>
        <n v="66.0"/>
        <n v="60.0"/>
        <n v="46.0"/>
        <n v="27.0"/>
        <n v="26.0"/>
        <n v="53.0"/>
        <n v="91.0"/>
        <n v="20.0"/>
        <n v="22.0"/>
      </sharedItems>
    </cacheField>
    <cacheField name="Women_Workforce_%" numFmtId="0">
      <sharedItems containsSemiMixedTypes="0" containsString="0" containsNumber="1" containsInteger="1">
        <n v="10.0"/>
        <n v="31.0"/>
        <n v="16.0"/>
        <n v="37.0"/>
        <n v="39.0"/>
        <n v="32.0"/>
        <n v="15.0"/>
        <n v="11.0"/>
        <n v="34.0"/>
        <n v="13.0"/>
        <n v="22.0"/>
        <n v="45.0"/>
        <n v="36.0"/>
        <n v="24.0"/>
        <n v="41.0"/>
        <n v="42.0"/>
        <n v="29.0"/>
        <n v="46.0"/>
        <n v="48.0"/>
        <n v="38.0"/>
        <n v="20.0"/>
      </sharedItems>
    </cacheField>
    <cacheField name="CSR_Spending_%Revenue" numFmtId="0">
      <sharedItems containsSemiMixedTypes="0" containsString="0" containsNumber="1">
        <n v="1.97"/>
        <n v="3.39"/>
        <n v="3.42"/>
        <n v="1.35"/>
        <n v="1.75"/>
        <n v="0.86"/>
        <n v="1.26"/>
        <n v="1.4"/>
        <n v="1.99"/>
        <n v="3.22"/>
        <n v="2.03"/>
        <n v="1.78"/>
        <n v="2.06"/>
        <n v="3.46"/>
        <n v="3.33"/>
        <n v="0.52"/>
        <n v="0.61"/>
        <n v="0.93"/>
        <n v="1.59"/>
        <n v="2.33"/>
        <n v="1.17"/>
        <n v="1.22"/>
        <n v="2.95"/>
        <n v="1.51"/>
        <n v="2.61"/>
        <n v="1.47"/>
        <n v="0.65"/>
        <n v="1.34"/>
        <n v="2.01"/>
        <n v="3.08"/>
      </sharedItems>
    </cacheField>
    <cacheField name="Employee_Turnover_%" numFmtId="0">
      <sharedItems containsSemiMixedTypes="0" containsString="0" containsNumber="1" containsInteger="1">
        <n v="22.0"/>
        <n v="7.0"/>
        <n v="20.0"/>
        <n v="24.0"/>
        <n v="10.0"/>
        <n v="23.0"/>
        <n v="8.0"/>
        <n v="5.0"/>
        <n v="9.0"/>
        <n v="12.0"/>
        <n v="11.0"/>
        <n v="6.0"/>
        <n v="15.0"/>
        <n v="13.0"/>
        <n v="21.0"/>
      </sharedItems>
    </cacheField>
    <cacheField name="CEO_Pay_Ratio" numFmtId="0">
      <sharedItems containsSemiMixedTypes="0" containsString="0" containsNumber="1" containsInteger="1">
        <n v="282.0"/>
        <n v="298.0"/>
        <n v="161.0"/>
        <n v="51.0"/>
        <n v="227.0"/>
        <n v="208.0"/>
        <n v="293.0"/>
        <n v="162.0"/>
        <n v="109.0"/>
        <n v="209.0"/>
        <n v="266.0"/>
        <n v="178.0"/>
        <n v="56.0"/>
        <n v="148.0"/>
        <n v="91.0"/>
        <n v="234.0"/>
        <n v="58.0"/>
        <n v="139.0"/>
        <n v="97.0"/>
        <n v="200.0"/>
        <n v="296.0"/>
        <n v="60.0"/>
        <n v="271.0"/>
        <n v="193.0"/>
        <n v="246.0"/>
        <n v="86.0"/>
        <n v="189.0"/>
        <n v="269.0"/>
      </sharedItems>
    </cacheField>
    <cacheField name="Independent_Board_%" numFmtId="0">
      <sharedItems containsSemiMixedTypes="0" containsString="0" containsNumber="1" containsInteger="1">
        <n v="63.0"/>
        <n v="84.0"/>
        <n v="74.0"/>
        <n v="67.0"/>
        <n v="82.0"/>
        <n v="60.0"/>
        <n v="78.0"/>
        <n v="73.0"/>
        <n v="68.0"/>
        <n v="89.0"/>
        <n v="70.0"/>
        <n v="85.0"/>
        <n v="69.0"/>
        <n v="51.0"/>
        <n v="53.0"/>
        <n v="65.0"/>
        <n v="57.0"/>
        <n v="87.0"/>
        <n v="90.0"/>
        <n v="52.0"/>
      </sharedItems>
    </cacheField>
    <cacheField name="ESG Score" numFmtId="0">
      <sharedItems containsSemiMixedTypes="0" containsString="0" containsNumber="1" containsInteger="1">
        <n v="50.0"/>
        <n v="66.0"/>
        <n v="56.0"/>
        <n v="59.0"/>
        <n v="55.0"/>
        <n v="64.0"/>
        <n v="63.0"/>
        <n v="57.0"/>
        <n v="46.0"/>
        <n v="54.0"/>
        <n v="58.0"/>
        <n v="60.0"/>
        <n v="49.0"/>
        <n v="36.0"/>
        <n v="52.0"/>
        <n v="37.0"/>
        <n v="39.0"/>
        <n v="48.0"/>
        <n v="4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nvironmental Pillar" cacheId="0" dataCaption="" compact="0" compactData="0">
  <location ref="A1:D32" firstHeaderRow="0" firstDataRow="2" firstDataCol="0"/>
  <pivotFields>
    <pivotField name="Company" axis="axisRow" compact="0" outline="0" multipleItemSelectionAllowed="1" showAll="0" sortType="ascending">
      <items>
        <item x="25"/>
        <item x="8"/>
        <item x="1"/>
        <item x="2"/>
        <item x="14"/>
        <item x="26"/>
        <item x="17"/>
        <item x="13"/>
        <item x="3"/>
        <item x="15"/>
        <item x="23"/>
        <item x="24"/>
        <item x="22"/>
        <item x="20"/>
        <item x="5"/>
        <item x="10"/>
        <item x="12"/>
        <item x="16"/>
        <item x="6"/>
        <item x="9"/>
        <item x="18"/>
        <item x="29"/>
        <item x="19"/>
        <item x="21"/>
        <item x="0"/>
        <item x="11"/>
        <item x="7"/>
        <item x="28"/>
        <item x="27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CO2_Emissions (tCO2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rmalized Co2-Score_from_0_to_10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newable_Energy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ater_Use (m³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cycled_Waste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omen_Workforc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SR_Spending_%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ployee_Turnover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O_Pay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ndependent_Board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S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-2"/>
  </colFields>
  <dataFields>
    <dataField name="SUM of Normalized Co2-Score_from_0_to_100" fld="5" baseField="0"/>
    <dataField name="SUM of Renewable_Energy_%" fld="6" baseField="0"/>
    <dataField name="SUM of Recycled_Waste_%" fld="8" baseField="0"/>
  </dataFields>
</pivotTableDefinition>
</file>

<file path=xl/pivotTables/pivotTable2.xml><?xml version="1.0" encoding="utf-8"?>
<pivotTableDefinition xmlns="http://schemas.openxmlformats.org/spreadsheetml/2006/main" name="Governance_pillar" cacheId="0" dataCaption="" compact="0" compactData="0">
  <location ref="A1:C32" firstHeaderRow="0" firstDataRow="2" firstDataCol="0"/>
  <pivotFields>
    <pivotField name="Company" axis="axisRow" compact="0" outline="0" multipleItemSelectionAllowed="1" showAll="0" sortType="ascending">
      <items>
        <item x="25"/>
        <item x="8"/>
        <item x="1"/>
        <item x="2"/>
        <item x="14"/>
        <item x="26"/>
        <item x="17"/>
        <item x="13"/>
        <item x="3"/>
        <item x="15"/>
        <item x="23"/>
        <item x="24"/>
        <item x="22"/>
        <item x="20"/>
        <item x="5"/>
        <item x="10"/>
        <item x="12"/>
        <item x="16"/>
        <item x="6"/>
        <item x="9"/>
        <item x="18"/>
        <item x="29"/>
        <item x="19"/>
        <item x="21"/>
        <item x="0"/>
        <item x="11"/>
        <item x="7"/>
        <item x="28"/>
        <item x="27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CO2_Emissions (tCO2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rmalized Co2-Score_from_0_to_10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newable_Energy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ater_Use (m³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cycled_Wast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omen_Workforc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SR_Spending_%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ployee_Turnover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O_Pay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ndependent_Board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S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-2"/>
  </colFields>
  <dataFields>
    <dataField name="SUM of CEO_Pay_Ratio" fld="12" baseField="0"/>
    <dataField name="SUM of Independent_Board_%" fld="13" baseField="0"/>
  </dataFields>
</pivotTableDefinition>
</file>

<file path=xl/pivotTables/pivotTable3.xml><?xml version="1.0" encoding="utf-8"?>
<pivotTableDefinition xmlns="http://schemas.openxmlformats.org/spreadsheetml/2006/main" name="Social_Pillar" cacheId="0" dataCaption="" compact="0" compactData="0">
  <location ref="A1:D32" firstHeaderRow="0" firstDataRow="2" firstDataCol="0"/>
  <pivotFields>
    <pivotField name="Company" axis="axisRow" compact="0" outline="0" multipleItemSelectionAllowed="1" showAll="0" sortType="ascending">
      <items>
        <item x="25"/>
        <item x="8"/>
        <item x="1"/>
        <item x="2"/>
        <item x="14"/>
        <item x="26"/>
        <item x="17"/>
        <item x="13"/>
        <item x="3"/>
        <item x="15"/>
        <item x="23"/>
        <item x="24"/>
        <item x="22"/>
        <item x="20"/>
        <item x="5"/>
        <item x="10"/>
        <item x="12"/>
        <item x="16"/>
        <item x="6"/>
        <item x="9"/>
        <item x="18"/>
        <item x="29"/>
        <item x="19"/>
        <item x="21"/>
        <item x="0"/>
        <item x="11"/>
        <item x="7"/>
        <item x="28"/>
        <item x="27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CO2_Emissions (tCO2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rmalized Co2-Score_from_0_to_10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newable_Energy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ater_Use (m³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cycled_Wast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omen_Workforce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SR_Spending_%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ployee_Turnover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O_Pay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ndependent_Board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S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-2"/>
  </colFields>
  <dataFields>
    <dataField name="SUM of Women_Workforce_%" fld="9" baseField="0"/>
    <dataField name="SUM of CSR_Spending_%Revenue" fld="10" baseField="0"/>
    <dataField name="SUM of Employee_Turnover_%" fld="11" baseField="0"/>
  </dataFields>
</pivotTableDefinition>
</file>

<file path=xl/pivotTables/pivotTable4.xml><?xml version="1.0" encoding="utf-8"?>
<pivotTableDefinition xmlns="http://schemas.openxmlformats.org/spreadsheetml/2006/main" name="ESG DASHBOARD 2023" cacheId="0" dataCaption="" compact="0" compactData="0">
  <location ref="A5:D36" firstHeaderRow="0" firstDataRow="2" firstDataCol="0"/>
  <pivotFields>
    <pivotField name="Company" axis="axisRow" compact="0" outline="0" multipleItemSelectionAllowed="1" showAll="0" sortType="ascending">
      <items>
        <item x="25"/>
        <item x="8"/>
        <item x="1"/>
        <item x="2"/>
        <item x="14"/>
        <item x="26"/>
        <item x="17"/>
        <item x="13"/>
        <item x="3"/>
        <item x="15"/>
        <item x="23"/>
        <item x="24"/>
        <item x="22"/>
        <item x="20"/>
        <item x="5"/>
        <item x="10"/>
        <item x="12"/>
        <item x="16"/>
        <item x="6"/>
        <item x="9"/>
        <item x="18"/>
        <item x="29"/>
        <item x="19"/>
        <item x="21"/>
        <item x="0"/>
        <item x="11"/>
        <item x="7"/>
        <item x="28"/>
        <item x="27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CO2_Emissions (tCO2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rmalized Co2-Score_from_0_to_10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newable_Energy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ater_Use (m³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cycled_Waste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omen_Workforc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SR_Spending_%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ployee_Turnover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O_Pay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ndependent_Board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S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-2"/>
  </colFields>
  <dataFields>
    <dataField name="SUM of Normalized Co2-Score_from_0_to_100" fld="5" baseField="0"/>
    <dataField name="SUM of Renewable_Energy_%" fld="6" baseField="0"/>
    <dataField name="SUM of Recycled_Waste_%" fld="8" baseField="0"/>
  </dataFields>
</pivotTableDefinition>
</file>

<file path=xl/pivotTables/pivotTable5.xml><?xml version="1.0" encoding="utf-8"?>
<pivotTableDefinition xmlns="http://schemas.openxmlformats.org/spreadsheetml/2006/main" name="ESG DASHBOARD 2023 2" cacheId="0" dataCaption="" compact="0" compactData="0">
  <location ref="A43:D74" firstHeaderRow="0" firstDataRow="2" firstDataCol="0"/>
  <pivotFields>
    <pivotField name="Company" axis="axisRow" compact="0" outline="0" multipleItemSelectionAllowed="1" showAll="0" sortType="ascending">
      <items>
        <item x="25"/>
        <item x="8"/>
        <item x="1"/>
        <item x="2"/>
        <item x="14"/>
        <item x="26"/>
        <item x="17"/>
        <item x="13"/>
        <item x="3"/>
        <item x="15"/>
        <item x="23"/>
        <item x="24"/>
        <item x="22"/>
        <item x="20"/>
        <item x="5"/>
        <item x="10"/>
        <item x="12"/>
        <item x="16"/>
        <item x="6"/>
        <item x="9"/>
        <item x="18"/>
        <item x="29"/>
        <item x="19"/>
        <item x="21"/>
        <item x="0"/>
        <item x="11"/>
        <item x="7"/>
        <item x="28"/>
        <item x="27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CO2_Emissions (tCO2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rmalized Co2-Score_from_0_to_10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newable_Energy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ater_Use (m³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cycled_Wast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omen_Workforce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SR_Spending_%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ployee_Turnover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O_Pay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ndependent_Board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S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-2"/>
  </colFields>
  <dataFields>
    <dataField name="SUM of Women_Workforce_%" fld="9" baseField="0"/>
    <dataField name="SUM of CSR_Spending_%Revenue" fld="10" baseField="0"/>
    <dataField name="SUM of Employee_Turnover_%" fld="11" baseField="0"/>
  </dataFields>
</pivotTableDefinition>
</file>

<file path=xl/pivotTables/pivotTable6.xml><?xml version="1.0" encoding="utf-8"?>
<pivotTableDefinition xmlns="http://schemas.openxmlformats.org/spreadsheetml/2006/main" name="ESG DASHBOARD 2023 3" cacheId="0" dataCaption="" compact="0" compactData="0">
  <location ref="A104:C135" firstHeaderRow="0" firstDataRow="2" firstDataCol="0"/>
  <pivotFields>
    <pivotField name="Company" axis="axisRow" compact="0" outline="0" multipleItemSelectionAllowed="1" showAll="0" sortType="ascending">
      <items>
        <item x="25"/>
        <item x="8"/>
        <item x="1"/>
        <item x="2"/>
        <item x="14"/>
        <item x="26"/>
        <item x="17"/>
        <item x="13"/>
        <item x="3"/>
        <item x="15"/>
        <item x="23"/>
        <item x="24"/>
        <item x="22"/>
        <item x="20"/>
        <item x="5"/>
        <item x="10"/>
        <item x="12"/>
        <item x="16"/>
        <item x="6"/>
        <item x="9"/>
        <item x="18"/>
        <item x="29"/>
        <item x="19"/>
        <item x="21"/>
        <item x="0"/>
        <item x="11"/>
        <item x="7"/>
        <item x="28"/>
        <item x="27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CO2_Emissions (tCO2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rmalized Co2-Score_from_0_to_10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newable_Energy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ater_Use (m³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cycled_Wast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omen_Workforc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SR_Spending_%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ployee_Turnover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O_Pay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ndependent_Board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S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colFields>
    <field x="-2"/>
  </colFields>
  <dataFields>
    <dataField name="SUM of CEO_Pay_Ratio" fld="12" baseField="0"/>
    <dataField name="SUM of Independent_Board_%" fld="13" baseField="0"/>
  </dataFields>
</pivotTableDefinition>
</file>

<file path=xl/pivotTables/pivotTable7.xml><?xml version="1.0" encoding="utf-8"?>
<pivotTableDefinition xmlns="http://schemas.openxmlformats.org/spreadsheetml/2006/main" name="ESG DASHBOARD 2023 4" cacheId="0" dataCaption="" compact="0" compactData="0">
  <location ref="A149:B158" firstHeaderRow="0" firstDataRow="1" firstDataCol="0"/>
  <pivotFields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untry" axis="axisRow" compact="0" outline="0" multipleItemSelectionAllowed="1" showAll="0" sortType="ascending">
      <items>
        <item x="0"/>
        <item x="2"/>
        <item x="7"/>
        <item x="5"/>
        <item x="3"/>
        <item x="4"/>
        <item x="6"/>
        <item x="1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t="default"/>
      </items>
    </pivotField>
    <pivotField name="CO2_Emissions (tCO2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rmalized Co2-Score_from_0_to_10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newable_Energy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ater_Use (m³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cycled_Wast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omen_Workforce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SR_Spending_%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ployee_Turnover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O_Pay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Independent_Board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SG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1"/>
  </rowFields>
  <dataFields>
    <dataField name="SUM of ESG Score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7.xm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>
      <c r="A2" s="4" t="s">
        <v>15</v>
      </c>
      <c r="B2" s="4" t="s">
        <v>16</v>
      </c>
      <c r="C2" s="4" t="s">
        <v>17</v>
      </c>
      <c r="D2" s="4">
        <v>2023.0</v>
      </c>
      <c r="E2" s="4">
        <v>104654.0</v>
      </c>
      <c r="F2" s="4">
        <f t="shared" ref="F2:F31" si="1">ROUND(
(1 - (E2 - MIN(E$2:E$31)) / (MAX(E$2:E$31) - MIN(E$2:E$31))) * 100,
0)
</f>
        <v>100</v>
      </c>
      <c r="G2" s="4">
        <v>15.0</v>
      </c>
      <c r="H2" s="4">
        <v>2280919.0</v>
      </c>
      <c r="I2" s="4">
        <v>34.0</v>
      </c>
      <c r="J2" s="4">
        <v>10.0</v>
      </c>
      <c r="K2" s="4">
        <v>1.97</v>
      </c>
      <c r="L2" s="4">
        <v>22.0</v>
      </c>
      <c r="M2" s="4">
        <v>282.0</v>
      </c>
      <c r="N2" s="4">
        <v>63.0</v>
      </c>
      <c r="O2" s="4">
        <f t="shared" ref="O2:O31" si="2">ROUND(
( (100 - (E2/MAX($E$2:$E$31))*100)*0.2 + 
(G2*0.15) + 
(I2*0.1) + 
(J2*0.15) + 
((100 - K2)*0.1) + 
(L2*3)*0.05 + 
((100 - M2/300*100)*0.1) + 
(N2*0.15) ), 0)
</f>
        <v>50</v>
      </c>
    </row>
    <row r="3">
      <c r="A3" s="5" t="s">
        <v>18</v>
      </c>
      <c r="B3" s="5" t="s">
        <v>19</v>
      </c>
      <c r="C3" s="5" t="s">
        <v>20</v>
      </c>
      <c r="D3" s="5">
        <v>2023.0</v>
      </c>
      <c r="E3" s="5">
        <v>123355.0</v>
      </c>
      <c r="F3" s="5">
        <f t="shared" si="1"/>
        <v>100</v>
      </c>
      <c r="G3" s="5">
        <v>93.0</v>
      </c>
      <c r="H3" s="5">
        <v>1122876.0</v>
      </c>
      <c r="I3" s="5">
        <v>42.0</v>
      </c>
      <c r="J3" s="5">
        <v>31.0</v>
      </c>
      <c r="K3" s="5">
        <v>3.39</v>
      </c>
      <c r="L3" s="5">
        <v>7.0</v>
      </c>
      <c r="M3" s="5">
        <v>298.0</v>
      </c>
      <c r="N3" s="5">
        <v>84.0</v>
      </c>
      <c r="O3" s="5">
        <f t="shared" si="2"/>
        <v>66</v>
      </c>
    </row>
    <row r="4">
      <c r="A4" s="4" t="s">
        <v>21</v>
      </c>
      <c r="B4" s="4" t="s">
        <v>22</v>
      </c>
      <c r="C4" s="4" t="s">
        <v>23</v>
      </c>
      <c r="D4" s="4">
        <v>2023.0</v>
      </c>
      <c r="E4" s="4">
        <v>811743.0</v>
      </c>
      <c r="F4" s="4">
        <f t="shared" si="1"/>
        <v>85</v>
      </c>
      <c r="G4" s="4">
        <v>11.0</v>
      </c>
      <c r="H4" s="4">
        <v>73247.0</v>
      </c>
      <c r="I4" s="4">
        <v>67.0</v>
      </c>
      <c r="J4" s="4">
        <v>16.0</v>
      </c>
      <c r="K4" s="4">
        <v>3.42</v>
      </c>
      <c r="L4" s="4">
        <v>20.0</v>
      </c>
      <c r="M4" s="4">
        <v>161.0</v>
      </c>
      <c r="N4" s="4">
        <v>74.0</v>
      </c>
      <c r="O4" s="4">
        <f t="shared" si="2"/>
        <v>56</v>
      </c>
    </row>
    <row r="5">
      <c r="A5" s="5" t="s">
        <v>24</v>
      </c>
      <c r="B5" s="5" t="s">
        <v>19</v>
      </c>
      <c r="C5" s="5" t="s">
        <v>20</v>
      </c>
      <c r="D5" s="5">
        <v>2023.0</v>
      </c>
      <c r="E5" s="5">
        <v>937040.0</v>
      </c>
      <c r="F5" s="5">
        <f t="shared" si="1"/>
        <v>83</v>
      </c>
      <c r="G5" s="5">
        <v>17.0</v>
      </c>
      <c r="H5" s="5">
        <v>1660908.0</v>
      </c>
      <c r="I5" s="5">
        <v>54.0</v>
      </c>
      <c r="J5" s="5">
        <v>37.0</v>
      </c>
      <c r="K5" s="5">
        <v>1.35</v>
      </c>
      <c r="L5" s="5">
        <v>7.0</v>
      </c>
      <c r="M5" s="5">
        <v>51.0</v>
      </c>
      <c r="N5" s="5">
        <v>67.0</v>
      </c>
      <c r="O5" s="5">
        <f t="shared" si="2"/>
        <v>59</v>
      </c>
    </row>
    <row r="6">
      <c r="A6" s="4" t="s">
        <v>25</v>
      </c>
      <c r="B6" s="4" t="s">
        <v>22</v>
      </c>
      <c r="C6" s="4" t="s">
        <v>26</v>
      </c>
      <c r="D6" s="4">
        <v>2023.0</v>
      </c>
      <c r="E6" s="4">
        <v>1156074.0</v>
      </c>
      <c r="F6" s="4">
        <f t="shared" si="1"/>
        <v>78</v>
      </c>
      <c r="G6" s="4">
        <v>30.0</v>
      </c>
      <c r="H6" s="4">
        <v>246769.0</v>
      </c>
      <c r="I6" s="4">
        <v>24.0</v>
      </c>
      <c r="J6" s="4">
        <v>39.0</v>
      </c>
      <c r="K6" s="4">
        <v>1.75</v>
      </c>
      <c r="L6" s="4">
        <v>24.0</v>
      </c>
      <c r="M6" s="4">
        <v>227.0</v>
      </c>
      <c r="N6" s="4">
        <v>82.0</v>
      </c>
      <c r="O6" s="4">
        <f t="shared" si="2"/>
        <v>56</v>
      </c>
    </row>
    <row r="7">
      <c r="A7" s="5" t="s">
        <v>27</v>
      </c>
      <c r="B7" s="5" t="s">
        <v>22</v>
      </c>
      <c r="C7" s="5" t="s">
        <v>17</v>
      </c>
      <c r="D7" s="5">
        <v>2023.0</v>
      </c>
      <c r="E7" s="5">
        <v>1259911.0</v>
      </c>
      <c r="F7" s="5">
        <f t="shared" si="1"/>
        <v>76</v>
      </c>
      <c r="G7" s="5">
        <v>48.0</v>
      </c>
      <c r="H7" s="5">
        <v>1096797.0</v>
      </c>
      <c r="I7" s="5">
        <v>47.0</v>
      </c>
      <c r="J7" s="5">
        <v>32.0</v>
      </c>
      <c r="K7" s="5">
        <v>0.86</v>
      </c>
      <c r="L7" s="5">
        <v>10.0</v>
      </c>
      <c r="M7" s="5">
        <v>208.0</v>
      </c>
      <c r="N7" s="5">
        <v>60.0</v>
      </c>
      <c r="O7" s="5">
        <f t="shared" si="2"/>
        <v>55</v>
      </c>
    </row>
    <row r="8">
      <c r="A8" s="4" t="s">
        <v>28</v>
      </c>
      <c r="B8" s="4" t="s">
        <v>19</v>
      </c>
      <c r="C8" s="4" t="s">
        <v>20</v>
      </c>
      <c r="D8" s="4">
        <v>2023.0</v>
      </c>
      <c r="E8" s="4">
        <v>1282752.0</v>
      </c>
      <c r="F8" s="4">
        <f t="shared" si="1"/>
        <v>76</v>
      </c>
      <c r="G8" s="4">
        <v>69.0</v>
      </c>
      <c r="H8" s="4">
        <v>1372905.0</v>
      </c>
      <c r="I8" s="4">
        <v>81.0</v>
      </c>
      <c r="J8" s="4">
        <v>37.0</v>
      </c>
      <c r="K8" s="4">
        <v>1.26</v>
      </c>
      <c r="L8" s="4">
        <v>24.0</v>
      </c>
      <c r="M8" s="4">
        <v>293.0</v>
      </c>
      <c r="N8" s="4">
        <v>74.0</v>
      </c>
      <c r="O8" s="4">
        <f t="shared" si="2"/>
        <v>64</v>
      </c>
    </row>
    <row r="9">
      <c r="A9" s="5" t="s">
        <v>29</v>
      </c>
      <c r="B9" s="5" t="s">
        <v>19</v>
      </c>
      <c r="C9" s="5" t="s">
        <v>30</v>
      </c>
      <c r="D9" s="5">
        <v>2023.0</v>
      </c>
      <c r="E9" s="5">
        <v>1327371.0</v>
      </c>
      <c r="F9" s="5">
        <f t="shared" si="1"/>
        <v>75</v>
      </c>
      <c r="G9" s="5">
        <v>53.0</v>
      </c>
      <c r="H9" s="5">
        <v>1335160.0</v>
      </c>
      <c r="I9" s="5">
        <v>63.0</v>
      </c>
      <c r="J9" s="5">
        <v>15.0</v>
      </c>
      <c r="K9" s="5">
        <v>1.4</v>
      </c>
      <c r="L9" s="5">
        <v>23.0</v>
      </c>
      <c r="M9" s="5">
        <v>162.0</v>
      </c>
      <c r="N9" s="5">
        <v>67.0</v>
      </c>
      <c r="O9" s="5">
        <f t="shared" si="2"/>
        <v>59</v>
      </c>
    </row>
    <row r="10">
      <c r="A10" s="4" t="s">
        <v>31</v>
      </c>
      <c r="B10" s="4" t="s">
        <v>19</v>
      </c>
      <c r="C10" s="4" t="s">
        <v>32</v>
      </c>
      <c r="D10" s="4">
        <v>2023.0</v>
      </c>
      <c r="E10" s="4">
        <v>1416025.0</v>
      </c>
      <c r="F10" s="4">
        <f t="shared" si="1"/>
        <v>73</v>
      </c>
      <c r="G10" s="4">
        <v>80.0</v>
      </c>
      <c r="H10" s="4">
        <v>1817640.0</v>
      </c>
      <c r="I10" s="4">
        <v>56.0</v>
      </c>
      <c r="J10" s="4">
        <v>11.0</v>
      </c>
      <c r="K10" s="4">
        <v>1.99</v>
      </c>
      <c r="L10" s="4">
        <v>8.0</v>
      </c>
      <c r="M10" s="4">
        <v>109.0</v>
      </c>
      <c r="N10" s="4">
        <v>78.0</v>
      </c>
      <c r="O10" s="4">
        <f t="shared" si="2"/>
        <v>63</v>
      </c>
    </row>
    <row r="11">
      <c r="A11" s="5" t="s">
        <v>33</v>
      </c>
      <c r="B11" s="5" t="s">
        <v>34</v>
      </c>
      <c r="C11" s="5" t="s">
        <v>35</v>
      </c>
      <c r="D11" s="5">
        <v>2023.0</v>
      </c>
      <c r="E11" s="5">
        <v>1520942.0</v>
      </c>
      <c r="F11" s="5">
        <f t="shared" si="1"/>
        <v>71</v>
      </c>
      <c r="G11" s="5">
        <v>59.0</v>
      </c>
      <c r="H11" s="5">
        <v>2411864.0</v>
      </c>
      <c r="I11" s="5">
        <v>33.0</v>
      </c>
      <c r="J11" s="5">
        <v>34.0</v>
      </c>
      <c r="K11" s="5">
        <v>3.22</v>
      </c>
      <c r="L11" s="5">
        <v>5.0</v>
      </c>
      <c r="M11" s="5">
        <v>209.0</v>
      </c>
      <c r="N11" s="5">
        <v>82.0</v>
      </c>
      <c r="O11" s="5">
        <f t="shared" si="2"/>
        <v>57</v>
      </c>
    </row>
    <row r="12">
      <c r="A12" s="4" t="s">
        <v>36</v>
      </c>
      <c r="B12" s="4" t="s">
        <v>22</v>
      </c>
      <c r="C12" s="4" t="s">
        <v>30</v>
      </c>
      <c r="D12" s="4">
        <v>2023.0</v>
      </c>
      <c r="E12" s="4">
        <v>1590006.0</v>
      </c>
      <c r="F12" s="4">
        <f t="shared" si="1"/>
        <v>69</v>
      </c>
      <c r="G12" s="4">
        <v>16.0</v>
      </c>
      <c r="H12" s="4">
        <v>2349435.0</v>
      </c>
      <c r="I12" s="4">
        <v>52.0</v>
      </c>
      <c r="J12" s="4">
        <v>13.0</v>
      </c>
      <c r="K12" s="4">
        <v>2.03</v>
      </c>
      <c r="L12" s="4">
        <v>9.0</v>
      </c>
      <c r="M12" s="4">
        <v>266.0</v>
      </c>
      <c r="N12" s="4">
        <v>73.0</v>
      </c>
      <c r="O12" s="4">
        <f t="shared" si="2"/>
        <v>46</v>
      </c>
    </row>
    <row r="13">
      <c r="A13" s="5" t="s">
        <v>37</v>
      </c>
      <c r="B13" s="5" t="s">
        <v>22</v>
      </c>
      <c r="C13" s="5" t="s">
        <v>38</v>
      </c>
      <c r="D13" s="5">
        <v>2023.0</v>
      </c>
      <c r="E13" s="5">
        <v>1712743.0</v>
      </c>
      <c r="F13" s="5">
        <f t="shared" si="1"/>
        <v>67</v>
      </c>
      <c r="G13" s="5">
        <v>64.0</v>
      </c>
      <c r="H13" s="5">
        <v>1413715.0</v>
      </c>
      <c r="I13" s="5">
        <v>30.0</v>
      </c>
      <c r="J13" s="5">
        <v>22.0</v>
      </c>
      <c r="K13" s="5">
        <v>1.78</v>
      </c>
      <c r="L13" s="5">
        <v>8.0</v>
      </c>
      <c r="M13" s="5">
        <v>178.0</v>
      </c>
      <c r="N13" s="5">
        <v>68.0</v>
      </c>
      <c r="O13" s="5">
        <f t="shared" si="2"/>
        <v>54</v>
      </c>
    </row>
    <row r="14">
      <c r="A14" s="4" t="s">
        <v>39</v>
      </c>
      <c r="B14" s="4" t="s">
        <v>22</v>
      </c>
      <c r="C14" s="4" t="s">
        <v>30</v>
      </c>
      <c r="D14" s="4">
        <v>2023.0</v>
      </c>
      <c r="E14" s="4">
        <v>1786891.0</v>
      </c>
      <c r="F14" s="4">
        <f t="shared" si="1"/>
        <v>65</v>
      </c>
      <c r="G14" s="4">
        <v>23.0</v>
      </c>
      <c r="H14" s="4">
        <v>1361736.0</v>
      </c>
      <c r="I14" s="4">
        <v>31.0</v>
      </c>
      <c r="J14" s="4">
        <v>45.0</v>
      </c>
      <c r="K14" s="4">
        <v>2.06</v>
      </c>
      <c r="L14" s="4">
        <v>5.0</v>
      </c>
      <c r="M14" s="4">
        <v>56.0</v>
      </c>
      <c r="N14" s="4">
        <v>89.0</v>
      </c>
      <c r="O14" s="4">
        <f t="shared" si="2"/>
        <v>58</v>
      </c>
    </row>
    <row r="15">
      <c r="A15" s="5" t="s">
        <v>40</v>
      </c>
      <c r="B15" s="5" t="s">
        <v>19</v>
      </c>
      <c r="C15" s="5" t="s">
        <v>41</v>
      </c>
      <c r="D15" s="5">
        <v>2023.0</v>
      </c>
      <c r="E15" s="5">
        <v>1974354.0</v>
      </c>
      <c r="F15" s="5">
        <f t="shared" si="1"/>
        <v>61</v>
      </c>
      <c r="G15" s="5">
        <v>63.0</v>
      </c>
      <c r="H15" s="5">
        <v>1802126.0</v>
      </c>
      <c r="I15" s="5">
        <v>61.0</v>
      </c>
      <c r="J15" s="5">
        <v>36.0</v>
      </c>
      <c r="K15" s="5">
        <v>3.46</v>
      </c>
      <c r="L15" s="5">
        <v>12.0</v>
      </c>
      <c r="M15" s="5">
        <v>148.0</v>
      </c>
      <c r="N15" s="5">
        <v>70.0</v>
      </c>
      <c r="O15" s="5">
        <f t="shared" si="2"/>
        <v>60</v>
      </c>
    </row>
    <row r="16">
      <c r="A16" s="4" t="s">
        <v>42</v>
      </c>
      <c r="B16" s="4" t="s">
        <v>22</v>
      </c>
      <c r="C16" s="4" t="s">
        <v>43</v>
      </c>
      <c r="D16" s="4">
        <v>2023.0</v>
      </c>
      <c r="E16" s="4">
        <v>2158242.0</v>
      </c>
      <c r="F16" s="4">
        <f t="shared" si="1"/>
        <v>58</v>
      </c>
      <c r="G16" s="4">
        <v>13.0</v>
      </c>
      <c r="H16" s="4">
        <v>614685.0</v>
      </c>
      <c r="I16" s="4">
        <v>92.0</v>
      </c>
      <c r="J16" s="4">
        <v>24.0</v>
      </c>
      <c r="K16" s="4">
        <v>3.33</v>
      </c>
      <c r="L16" s="4">
        <v>20.0</v>
      </c>
      <c r="M16" s="4">
        <v>91.0</v>
      </c>
      <c r="N16" s="4">
        <v>85.0</v>
      </c>
      <c r="O16" s="4">
        <f t="shared" si="2"/>
        <v>58</v>
      </c>
    </row>
    <row r="17">
      <c r="A17" s="5" t="s">
        <v>44</v>
      </c>
      <c r="B17" s="5" t="s">
        <v>22</v>
      </c>
      <c r="C17" s="5" t="s">
        <v>23</v>
      </c>
      <c r="D17" s="5">
        <v>2023.0</v>
      </c>
      <c r="E17" s="5">
        <v>2254489.0</v>
      </c>
      <c r="F17" s="5">
        <f t="shared" si="1"/>
        <v>56</v>
      </c>
      <c r="G17" s="5">
        <v>60.0</v>
      </c>
      <c r="H17" s="5">
        <v>2145505.0</v>
      </c>
      <c r="I17" s="5">
        <v>54.0</v>
      </c>
      <c r="J17" s="5">
        <v>41.0</v>
      </c>
      <c r="K17" s="5">
        <v>0.52</v>
      </c>
      <c r="L17" s="5">
        <v>10.0</v>
      </c>
      <c r="M17" s="5">
        <v>234.0</v>
      </c>
      <c r="N17" s="5">
        <v>69.0</v>
      </c>
      <c r="O17" s="5">
        <f t="shared" si="2"/>
        <v>55</v>
      </c>
    </row>
    <row r="18">
      <c r="A18" s="4" t="s">
        <v>45</v>
      </c>
      <c r="B18" s="4" t="s">
        <v>19</v>
      </c>
      <c r="C18" s="4" t="s">
        <v>20</v>
      </c>
      <c r="D18" s="4">
        <v>2023.0</v>
      </c>
      <c r="E18" s="4">
        <v>2273882.0</v>
      </c>
      <c r="F18" s="4">
        <f t="shared" si="1"/>
        <v>55</v>
      </c>
      <c r="G18" s="4">
        <v>56.0</v>
      </c>
      <c r="H18" s="4">
        <v>1936222.0</v>
      </c>
      <c r="I18" s="4">
        <v>84.0</v>
      </c>
      <c r="J18" s="4">
        <v>37.0</v>
      </c>
      <c r="K18" s="4">
        <v>0.61</v>
      </c>
      <c r="L18" s="4">
        <v>23.0</v>
      </c>
      <c r="M18" s="4">
        <v>178.0</v>
      </c>
      <c r="N18" s="4">
        <v>51.0</v>
      </c>
      <c r="O18" s="4">
        <f t="shared" si="2"/>
        <v>58</v>
      </c>
    </row>
    <row r="19">
      <c r="A19" s="5" t="s">
        <v>46</v>
      </c>
      <c r="B19" s="5" t="s">
        <v>47</v>
      </c>
      <c r="C19" s="5" t="s">
        <v>48</v>
      </c>
      <c r="D19" s="5">
        <v>2023.0</v>
      </c>
      <c r="E19" s="5">
        <v>3295709.0</v>
      </c>
      <c r="F19" s="5">
        <f t="shared" si="1"/>
        <v>34</v>
      </c>
      <c r="G19" s="5">
        <v>11.0</v>
      </c>
      <c r="H19" s="5">
        <v>2083643.0</v>
      </c>
      <c r="I19" s="5">
        <v>28.0</v>
      </c>
      <c r="J19" s="5">
        <v>42.0</v>
      </c>
      <c r="K19" s="5">
        <v>0.93</v>
      </c>
      <c r="L19" s="5">
        <v>11.0</v>
      </c>
      <c r="M19" s="5">
        <v>58.0</v>
      </c>
      <c r="N19" s="5">
        <v>82.0</v>
      </c>
      <c r="O19" s="5">
        <f t="shared" si="2"/>
        <v>49</v>
      </c>
    </row>
    <row r="20">
      <c r="A20" s="4" t="s">
        <v>49</v>
      </c>
      <c r="B20" s="4" t="s">
        <v>22</v>
      </c>
      <c r="C20" s="4" t="s">
        <v>48</v>
      </c>
      <c r="D20" s="4">
        <v>2023.0</v>
      </c>
      <c r="E20" s="4">
        <v>3364769.0</v>
      </c>
      <c r="F20" s="4">
        <f t="shared" si="1"/>
        <v>33</v>
      </c>
      <c r="G20" s="4">
        <v>62.0</v>
      </c>
      <c r="H20" s="4">
        <v>629879.0</v>
      </c>
      <c r="I20" s="4">
        <v>52.0</v>
      </c>
      <c r="J20" s="4">
        <v>41.0</v>
      </c>
      <c r="K20" s="4">
        <v>1.59</v>
      </c>
      <c r="L20" s="4">
        <v>10.0</v>
      </c>
      <c r="M20" s="4">
        <v>139.0</v>
      </c>
      <c r="N20" s="4">
        <v>84.0</v>
      </c>
      <c r="O20" s="4">
        <f t="shared" si="2"/>
        <v>56</v>
      </c>
    </row>
    <row r="21" ht="15.75" customHeight="1">
      <c r="A21" s="5" t="s">
        <v>50</v>
      </c>
      <c r="B21" s="5" t="s">
        <v>51</v>
      </c>
      <c r="C21" s="5" t="s">
        <v>52</v>
      </c>
      <c r="D21" s="5">
        <v>2023.0</v>
      </c>
      <c r="E21" s="5">
        <v>3550409.0</v>
      </c>
      <c r="F21" s="5">
        <f t="shared" si="1"/>
        <v>29</v>
      </c>
      <c r="G21" s="5">
        <v>44.0</v>
      </c>
      <c r="H21" s="5">
        <v>1028732.0</v>
      </c>
      <c r="I21" s="5">
        <v>66.0</v>
      </c>
      <c r="J21" s="5">
        <v>29.0</v>
      </c>
      <c r="K21" s="5">
        <v>2.33</v>
      </c>
      <c r="L21" s="5">
        <v>24.0</v>
      </c>
      <c r="M21" s="5">
        <v>97.0</v>
      </c>
      <c r="N21" s="5">
        <v>84.0</v>
      </c>
      <c r="O21" s="5">
        <f t="shared" si="2"/>
        <v>56</v>
      </c>
    </row>
    <row r="22" ht="15.75" customHeight="1">
      <c r="A22" s="4" t="s">
        <v>53</v>
      </c>
      <c r="B22" s="4" t="s">
        <v>22</v>
      </c>
      <c r="C22" s="4" t="s">
        <v>35</v>
      </c>
      <c r="D22" s="4">
        <v>2023.0</v>
      </c>
      <c r="E22" s="4">
        <v>4064887.0</v>
      </c>
      <c r="F22" s="4">
        <f t="shared" si="1"/>
        <v>18</v>
      </c>
      <c r="G22" s="4">
        <v>82.0</v>
      </c>
      <c r="H22" s="4">
        <v>1321741.0</v>
      </c>
      <c r="I22" s="4">
        <v>60.0</v>
      </c>
      <c r="J22" s="4">
        <v>46.0</v>
      </c>
      <c r="K22" s="4">
        <v>1.17</v>
      </c>
      <c r="L22" s="4">
        <v>6.0</v>
      </c>
      <c r="M22" s="4">
        <v>200.0</v>
      </c>
      <c r="N22" s="4">
        <v>73.0</v>
      </c>
      <c r="O22" s="4">
        <f t="shared" si="2"/>
        <v>54</v>
      </c>
    </row>
    <row r="23" ht="15.75" customHeight="1">
      <c r="A23" s="5" t="s">
        <v>54</v>
      </c>
      <c r="B23" s="5" t="s">
        <v>47</v>
      </c>
      <c r="C23" s="5" t="s">
        <v>48</v>
      </c>
      <c r="D23" s="5">
        <v>2023.0</v>
      </c>
      <c r="E23" s="5">
        <v>4280029.0</v>
      </c>
      <c r="F23" s="5">
        <f t="shared" si="1"/>
        <v>14</v>
      </c>
      <c r="G23" s="5">
        <v>13.0</v>
      </c>
      <c r="H23" s="5">
        <v>1554384.0</v>
      </c>
      <c r="I23" s="5">
        <v>46.0</v>
      </c>
      <c r="J23" s="5">
        <v>48.0</v>
      </c>
      <c r="K23" s="5">
        <v>1.22</v>
      </c>
      <c r="L23" s="5">
        <v>12.0</v>
      </c>
      <c r="M23" s="5">
        <v>296.0</v>
      </c>
      <c r="N23" s="5">
        <v>53.0</v>
      </c>
      <c r="O23" s="5">
        <f t="shared" si="2"/>
        <v>36</v>
      </c>
    </row>
    <row r="24" ht="15.75" customHeight="1">
      <c r="A24" s="4" t="s">
        <v>55</v>
      </c>
      <c r="B24" s="4" t="s">
        <v>22</v>
      </c>
      <c r="C24" s="4" t="s">
        <v>26</v>
      </c>
      <c r="D24" s="4">
        <v>2023.0</v>
      </c>
      <c r="E24" s="4">
        <v>4324572.0</v>
      </c>
      <c r="F24" s="4">
        <f t="shared" si="1"/>
        <v>13</v>
      </c>
      <c r="G24" s="4">
        <v>73.0</v>
      </c>
      <c r="H24" s="4">
        <v>1270405.0</v>
      </c>
      <c r="I24" s="4">
        <v>27.0</v>
      </c>
      <c r="J24" s="4">
        <v>41.0</v>
      </c>
      <c r="K24" s="4">
        <v>2.95</v>
      </c>
      <c r="L24" s="4">
        <v>15.0</v>
      </c>
      <c r="M24" s="4">
        <v>60.0</v>
      </c>
      <c r="N24" s="4">
        <v>65.0</v>
      </c>
      <c r="O24" s="4">
        <f t="shared" si="2"/>
        <v>52</v>
      </c>
    </row>
    <row r="25" ht="15.75" customHeight="1">
      <c r="A25" s="5" t="s">
        <v>56</v>
      </c>
      <c r="B25" s="5" t="s">
        <v>22</v>
      </c>
      <c r="C25" s="5" t="s">
        <v>35</v>
      </c>
      <c r="D25" s="5">
        <v>2023.0</v>
      </c>
      <c r="E25" s="5">
        <v>4492471.0</v>
      </c>
      <c r="F25" s="5">
        <f t="shared" si="1"/>
        <v>9</v>
      </c>
      <c r="G25" s="5">
        <v>27.0</v>
      </c>
      <c r="H25" s="5">
        <v>1634398.0</v>
      </c>
      <c r="I25" s="5">
        <v>26.0</v>
      </c>
      <c r="J25" s="5">
        <v>48.0</v>
      </c>
      <c r="K25" s="5">
        <v>1.51</v>
      </c>
      <c r="L25" s="5">
        <v>15.0</v>
      </c>
      <c r="M25" s="5">
        <v>271.0</v>
      </c>
      <c r="N25" s="5">
        <v>57.0</v>
      </c>
      <c r="O25" s="5">
        <f t="shared" si="2"/>
        <v>37</v>
      </c>
    </row>
    <row r="26" ht="15.75" customHeight="1">
      <c r="A26" s="4" t="s">
        <v>57</v>
      </c>
      <c r="B26" s="4" t="s">
        <v>22</v>
      </c>
      <c r="C26" s="4" t="s">
        <v>48</v>
      </c>
      <c r="D26" s="4">
        <v>2023.0</v>
      </c>
      <c r="E26" s="4">
        <v>4541373.0</v>
      </c>
      <c r="F26" s="4">
        <f t="shared" si="1"/>
        <v>8</v>
      </c>
      <c r="G26" s="4">
        <v>18.0</v>
      </c>
      <c r="H26" s="4">
        <v>1057293.0</v>
      </c>
      <c r="I26" s="4">
        <v>53.0</v>
      </c>
      <c r="J26" s="4">
        <v>22.0</v>
      </c>
      <c r="K26" s="4">
        <v>2.61</v>
      </c>
      <c r="L26" s="4">
        <v>13.0</v>
      </c>
      <c r="M26" s="4">
        <v>193.0</v>
      </c>
      <c r="N26" s="4">
        <v>69.0</v>
      </c>
      <c r="O26" s="4">
        <f t="shared" si="2"/>
        <v>39</v>
      </c>
    </row>
    <row r="27" ht="15.75" customHeight="1">
      <c r="A27" s="5" t="s">
        <v>58</v>
      </c>
      <c r="B27" s="5" t="s">
        <v>22</v>
      </c>
      <c r="C27" s="5" t="s">
        <v>48</v>
      </c>
      <c r="D27" s="5">
        <v>2023.0</v>
      </c>
      <c r="E27" s="5">
        <v>4543669.0</v>
      </c>
      <c r="F27" s="5">
        <f t="shared" si="1"/>
        <v>8</v>
      </c>
      <c r="G27" s="5">
        <v>69.0</v>
      </c>
      <c r="H27" s="5">
        <v>1452107.0</v>
      </c>
      <c r="I27" s="5">
        <v>91.0</v>
      </c>
      <c r="J27" s="5">
        <v>38.0</v>
      </c>
      <c r="K27" s="5">
        <v>1.47</v>
      </c>
      <c r="L27" s="5">
        <v>20.0</v>
      </c>
      <c r="M27" s="5">
        <v>148.0</v>
      </c>
      <c r="N27" s="5">
        <v>87.0</v>
      </c>
      <c r="O27" s="5">
        <f t="shared" si="2"/>
        <v>58</v>
      </c>
    </row>
    <row r="28" ht="15.75" customHeight="1">
      <c r="A28" s="4" t="s">
        <v>59</v>
      </c>
      <c r="B28" s="4" t="s">
        <v>16</v>
      </c>
      <c r="C28" s="4" t="s">
        <v>30</v>
      </c>
      <c r="D28" s="4">
        <v>2023.0</v>
      </c>
      <c r="E28" s="4">
        <v>4741339.0</v>
      </c>
      <c r="F28" s="4">
        <f t="shared" si="1"/>
        <v>4</v>
      </c>
      <c r="G28" s="4">
        <v>90.0</v>
      </c>
      <c r="H28" s="4">
        <v>98984.0</v>
      </c>
      <c r="I28" s="4">
        <v>20.0</v>
      </c>
      <c r="J28" s="4">
        <v>20.0</v>
      </c>
      <c r="K28" s="4">
        <v>0.65</v>
      </c>
      <c r="L28" s="4">
        <v>24.0</v>
      </c>
      <c r="M28" s="4">
        <v>246.0</v>
      </c>
      <c r="N28" s="4">
        <v>90.0</v>
      </c>
      <c r="O28" s="4">
        <f t="shared" si="2"/>
        <v>48</v>
      </c>
    </row>
    <row r="29" ht="15.75" customHeight="1">
      <c r="A29" s="5" t="s">
        <v>60</v>
      </c>
      <c r="B29" s="5" t="s">
        <v>61</v>
      </c>
      <c r="C29" s="5" t="s">
        <v>35</v>
      </c>
      <c r="D29" s="5">
        <v>2023.0</v>
      </c>
      <c r="E29" s="5">
        <v>4862447.0</v>
      </c>
      <c r="F29" s="5">
        <f t="shared" si="1"/>
        <v>2</v>
      </c>
      <c r="G29" s="5">
        <v>45.0</v>
      </c>
      <c r="H29" s="5">
        <v>2450070.0</v>
      </c>
      <c r="I29" s="5">
        <v>24.0</v>
      </c>
      <c r="J29" s="5">
        <v>37.0</v>
      </c>
      <c r="K29" s="5">
        <v>1.34</v>
      </c>
      <c r="L29" s="5">
        <v>13.0</v>
      </c>
      <c r="M29" s="5">
        <v>86.0</v>
      </c>
      <c r="N29" s="5">
        <v>85.0</v>
      </c>
      <c r="O29" s="5">
        <f t="shared" si="2"/>
        <v>47</v>
      </c>
    </row>
    <row r="30" ht="15.75" customHeight="1">
      <c r="A30" s="4" t="s">
        <v>62</v>
      </c>
      <c r="B30" s="4" t="s">
        <v>63</v>
      </c>
      <c r="C30" s="4" t="s">
        <v>30</v>
      </c>
      <c r="D30" s="4">
        <v>2023.0</v>
      </c>
      <c r="E30" s="4">
        <v>4869115.0</v>
      </c>
      <c r="F30" s="4">
        <f t="shared" si="1"/>
        <v>2</v>
      </c>
      <c r="G30" s="4">
        <v>87.0</v>
      </c>
      <c r="H30" s="4">
        <v>1475472.0</v>
      </c>
      <c r="I30" s="4">
        <v>22.0</v>
      </c>
      <c r="J30" s="4">
        <v>39.0</v>
      </c>
      <c r="K30" s="4">
        <v>2.01</v>
      </c>
      <c r="L30" s="4">
        <v>11.0</v>
      </c>
      <c r="M30" s="4">
        <v>189.0</v>
      </c>
      <c r="N30" s="4">
        <v>65.0</v>
      </c>
      <c r="O30" s="4">
        <f t="shared" si="2"/>
        <v>46</v>
      </c>
    </row>
    <row r="31" ht="15.75" customHeight="1">
      <c r="A31" s="5" t="s">
        <v>64</v>
      </c>
      <c r="B31" s="5" t="s">
        <v>22</v>
      </c>
      <c r="C31" s="5" t="s">
        <v>48</v>
      </c>
      <c r="D31" s="5">
        <v>2023.0</v>
      </c>
      <c r="E31" s="5">
        <v>4946484.0</v>
      </c>
      <c r="F31" s="5">
        <f t="shared" si="1"/>
        <v>0</v>
      </c>
      <c r="G31" s="5">
        <v>12.0</v>
      </c>
      <c r="H31" s="5">
        <v>321836.0</v>
      </c>
      <c r="I31" s="5">
        <v>54.0</v>
      </c>
      <c r="J31" s="5">
        <v>48.0</v>
      </c>
      <c r="K31" s="5">
        <v>3.08</v>
      </c>
      <c r="L31" s="5">
        <v>21.0</v>
      </c>
      <c r="M31" s="5">
        <v>269.0</v>
      </c>
      <c r="N31" s="5">
        <v>52.0</v>
      </c>
      <c r="O31" s="5">
        <f t="shared" si="2"/>
        <v>36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31"/>
  <conditionalFormatting sqref="F1:F31">
    <cfRule type="cellIs" dxfId="0" priority="1" operator="greaterThanOrEqual">
      <formula>50</formula>
    </cfRule>
  </conditionalFormatting>
  <conditionalFormatting sqref="F1:F31">
    <cfRule type="cellIs" dxfId="1" priority="2" operator="between">
      <formula>49</formula>
      <formula>11</formula>
    </cfRule>
  </conditionalFormatting>
  <conditionalFormatting sqref="F1:F32">
    <cfRule type="cellIs" dxfId="2" priority="3" operator="lessThanOrEqual">
      <formula>10</formula>
    </cfRule>
  </conditionalFormatting>
  <conditionalFormatting sqref="O1:O31">
    <cfRule type="cellIs" dxfId="2" priority="4" operator="greaterThan">
      <formula>70</formula>
    </cfRule>
  </conditionalFormatting>
  <conditionalFormatting sqref="O1:O31">
    <cfRule type="cellIs" dxfId="1" priority="5" operator="between">
      <formula>40</formula>
      <formula>70</formula>
    </cfRule>
  </conditionalFormatting>
  <conditionalFormatting sqref="O1:O31">
    <cfRule type="cellIs" dxfId="2" priority="6" operator="lessThan">
      <formula>40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F1" s="7" t="s">
        <v>74</v>
      </c>
      <c r="G1" s="8"/>
      <c r="H1" s="8"/>
      <c r="I1" s="9"/>
      <c r="J1" s="8"/>
      <c r="K1" s="8"/>
      <c r="L1" s="8"/>
      <c r="M1" s="8"/>
    </row>
    <row r="3">
      <c r="I3" s="10" t="s">
        <v>75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41">
      <c r="I41" s="11" t="s">
        <v>76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101">
      <c r="H101" s="12" t="s">
        <v>77</v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46">
      <c r="G146" s="12" t="s">
        <v>78</v>
      </c>
    </row>
    <row r="149"/>
    <row r="150"/>
    <row r="151"/>
    <row r="152"/>
    <row r="153"/>
    <row r="154"/>
    <row r="155"/>
    <row r="156"/>
    <row r="157"/>
    <row r="158"/>
  </sheetData>
  <drawing r:id="rId5"/>
</worksheet>
</file>